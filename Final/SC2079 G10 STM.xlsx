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hecklist" sheetId="2" r:id="rId5"/>
  </sheets>
  <definedNames/>
  <calcPr/>
</workbook>
</file>

<file path=xl/sharedStrings.xml><?xml version="1.0" encoding="utf-8"?>
<sst xmlns="http://schemas.openxmlformats.org/spreadsheetml/2006/main" count="142" uniqueCount="108">
  <si>
    <t>x</t>
  </si>
  <si>
    <t xml:space="preserve">Pin </t>
  </si>
  <si>
    <t>Timer / Type</t>
  </si>
  <si>
    <t>Comments</t>
  </si>
  <si>
    <t>LED</t>
  </si>
  <si>
    <t>PE8</t>
  </si>
  <si>
    <t>GPIO Output</t>
  </si>
  <si>
    <t>IR Sensor 1</t>
  </si>
  <si>
    <t>right</t>
  </si>
  <si>
    <t>OLED</t>
  </si>
  <si>
    <t>PD11 - PD14</t>
  </si>
  <si>
    <t>Reading</t>
  </si>
  <si>
    <t>Distance</t>
  </si>
  <si>
    <t>Right Wheel (Motor A)</t>
  </si>
  <si>
    <t>PB8 (IN2)</t>
  </si>
  <si>
    <t>TIM4_CH3</t>
  </si>
  <si>
    <t>IR Sensor1</t>
  </si>
  <si>
    <t>33141.7/(y-145.2) - 2.94</t>
  </si>
  <si>
    <t>PB9 (IN1)</t>
  </si>
  <si>
    <t>TIM4_CH4</t>
  </si>
  <si>
    <t>IR Sensor2</t>
  </si>
  <si>
    <t>40483.4058f / (raw + 50.8020f) - 4.6692f;</t>
  </si>
  <si>
    <t>Left Wheel (Motor B)</t>
  </si>
  <si>
    <t>PE5 (IN1)</t>
  </si>
  <si>
    <t>TIM9_CH1</t>
  </si>
  <si>
    <t>PE6 (IN2)</t>
  </si>
  <si>
    <t>TIM9_CH2</t>
  </si>
  <si>
    <t>Servo</t>
  </si>
  <si>
    <t>PB14</t>
  </si>
  <si>
    <t>TIM12_CH1</t>
  </si>
  <si>
    <t>Ultrasonic Sensor</t>
  </si>
  <si>
    <t>PC8 (Trigger)</t>
  </si>
  <si>
    <t>TIM14 used to get 10microsec delay for trigger</t>
  </si>
  <si>
    <t>Encoder</t>
  </si>
  <si>
    <r>
      <rPr>
        <rFont val="Arial"/>
        <color theme="1"/>
      </rPr>
      <t xml:space="preserve">330*4 = </t>
    </r>
    <r>
      <rPr>
        <rFont val="Arial"/>
        <b/>
        <color theme="1"/>
      </rPr>
      <t>1320</t>
    </r>
    <r>
      <rPr>
        <rFont val="Arial"/>
        <color theme="1"/>
      </rPr>
      <t xml:space="preserve"> pulse/revolution</t>
    </r>
  </si>
  <si>
    <t>PC7 (Echo)</t>
  </si>
  <si>
    <t>TIM8_CH2</t>
  </si>
  <si>
    <t>Wheel Diameter</t>
  </si>
  <si>
    <t>6.6cm</t>
  </si>
  <si>
    <t>USER Button</t>
  </si>
  <si>
    <t>PE0</t>
  </si>
  <si>
    <t>GPIO Input</t>
  </si>
  <si>
    <t>Dist/Rev</t>
  </si>
  <si>
    <t>6.6cm * π = 20.736cm</t>
  </si>
  <si>
    <t>Buzzer</t>
  </si>
  <si>
    <t>PA8</t>
  </si>
  <si>
    <t>Motion Sensor</t>
  </si>
  <si>
    <t>-</t>
  </si>
  <si>
    <t>I2C2</t>
  </si>
  <si>
    <t>Only Gyrometer readings used</t>
  </si>
  <si>
    <t>IR Sensor 2</t>
  </si>
  <si>
    <t>left</t>
  </si>
  <si>
    <t>IR Sensor</t>
  </si>
  <si>
    <t>PA2</t>
  </si>
  <si>
    <t>ADC1_IN2</t>
  </si>
  <si>
    <t>bottom row, 5th from bottom</t>
  </si>
  <si>
    <t>PA3</t>
  </si>
  <si>
    <t>ADC2_IN3</t>
  </si>
  <si>
    <t>same row, 6th from bottom</t>
  </si>
  <si>
    <t>UART</t>
  </si>
  <si>
    <t>PD8</t>
  </si>
  <si>
    <t>USART3_TX</t>
  </si>
  <si>
    <t>PD9</t>
  </si>
  <si>
    <t>USART3_RX</t>
  </si>
  <si>
    <t>tire to tire</t>
  </si>
  <si>
    <t>18.6cm</t>
  </si>
  <si>
    <t>tire width</t>
  </si>
  <si>
    <t>Turning radius</t>
  </si>
  <si>
    <t>outer_wheel_rpm * (r_meter-0.08) / (r_meter+0.08)</t>
  </si>
  <si>
    <t>Angle</t>
  </si>
  <si>
    <t>Modified (target)</t>
  </si>
  <si>
    <t>Old</t>
  </si>
  <si>
    <t>Direction</t>
  </si>
  <si>
    <t>Angles</t>
  </si>
  <si>
    <t>L</t>
  </si>
  <si>
    <t>45, 48</t>
  </si>
  <si>
    <t>R</t>
  </si>
  <si>
    <t>45, 55</t>
  </si>
  <si>
    <t>LL</t>
  </si>
  <si>
    <t>LR</t>
  </si>
  <si>
    <t>RL</t>
  </si>
  <si>
    <t>RR</t>
  </si>
  <si>
    <t>New</t>
  </si>
  <si>
    <t>45, 52</t>
  </si>
  <si>
    <t>45, 59</t>
  </si>
  <si>
    <t>Sensors</t>
  </si>
  <si>
    <t>Status</t>
  </si>
  <si>
    <t>Comment</t>
  </si>
  <si>
    <t>Tasks</t>
  </si>
  <si>
    <t>Completed</t>
  </si>
  <si>
    <t>Convert gyroscope reading to degrees</t>
  </si>
  <si>
    <t>Convert  encoder values to rpm</t>
  </si>
  <si>
    <t>330*4 pulse per revolution</t>
  </si>
  <si>
    <t>PID for motor 1</t>
  </si>
  <si>
    <t>Active</t>
  </si>
  <si>
    <t>Motor1</t>
  </si>
  <si>
    <t>PID for motor 2</t>
  </si>
  <si>
    <t>Not started</t>
  </si>
  <si>
    <t>Motor2</t>
  </si>
  <si>
    <t>Combine PID for motor 1 and 2</t>
  </si>
  <si>
    <t>Motor Encoder1</t>
  </si>
  <si>
    <t>Motor Encoder2</t>
  </si>
  <si>
    <t>Ultrasonic sensor</t>
  </si>
  <si>
    <t>IR sensor 1</t>
  </si>
  <si>
    <t>IR sensor 2</t>
  </si>
  <si>
    <t>IR sensor damaged, unable to get reading</t>
  </si>
  <si>
    <t>Gyroscope</t>
  </si>
  <si>
    <t>Magnetometer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</si>
</sst>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3" fillId="3" fontId="1" numFmtId="0" xfId="0" applyAlignment="1" applyBorder="1" applyFill="1" applyFont="1">
      <alignment horizontal="center" readingOrder="0"/>
    </xf>
    <xf borderId="4" fillId="3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2" fillId="2" fontId="2" numFmtId="0" xfId="0" applyAlignment="1" applyBorder="1" applyFont="1">
      <alignment horizontal="center" vertical="bottom"/>
    </xf>
    <xf borderId="6" fillId="3" fontId="2" numFmtId="0" xfId="0" applyAlignment="1" applyBorder="1" applyFont="1">
      <alignment horizontal="center" readingOrder="0" vertical="bottom"/>
    </xf>
    <xf borderId="7" fillId="3" fontId="2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right" readingOrder="0" vertical="bottom"/>
    </xf>
    <xf borderId="2" fillId="3" fontId="2" numFmtId="0" xfId="0" applyAlignment="1" applyBorder="1" applyFont="1">
      <alignment horizontal="left" readingOrder="0" vertical="bottom"/>
    </xf>
    <xf borderId="3" fillId="3" fontId="1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left" readingOrder="0" vertical="bottom"/>
    </xf>
    <xf borderId="3" fillId="3" fontId="2" numFmtId="0" xfId="0" applyAlignment="1" applyBorder="1" applyFont="1">
      <alignment horizontal="center" readingOrder="0" vertical="bottom"/>
    </xf>
    <xf borderId="4" fillId="3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 vertical="bottom"/>
    </xf>
    <xf borderId="2" fillId="3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vertical="bottom"/>
    </xf>
    <xf borderId="4" fillId="3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7" fillId="3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10" fillId="3" fontId="1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8" fillId="3" fontId="1" numFmtId="0" xfId="0" applyAlignment="1" applyBorder="1" applyFont="1">
      <alignment horizontal="center"/>
    </xf>
    <xf borderId="9" fillId="3" fontId="1" numFmtId="0" xfId="0" applyAlignment="1" applyBorder="1" applyFont="1">
      <alignment horizontal="center" readingOrder="0"/>
    </xf>
    <xf borderId="11" fillId="3" fontId="1" numFmtId="0" xfId="0" applyAlignment="1" applyBorder="1" applyFont="1">
      <alignment horizontal="center" readingOrder="0"/>
    </xf>
    <xf borderId="9" fillId="3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2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5" fillId="4" fontId="1" numFmtId="0" xfId="0" applyBorder="1" applyFont="1"/>
    <xf borderId="1" fillId="5" fontId="1" numFmtId="0" xfId="0" applyAlignment="1" applyBorder="1" applyFill="1" applyFont="1">
      <alignment readingOrder="0"/>
    </xf>
    <xf borderId="2" fillId="5" fontId="1" numFmtId="0" xfId="0" applyAlignment="1" applyBorder="1" applyFont="1">
      <alignment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" fillId="6" fontId="2" numFmtId="0" xfId="0" applyAlignment="1" applyBorder="1" applyFill="1" applyFont="1">
      <alignment readingOrder="0" vertical="bottom"/>
    </xf>
    <xf borderId="5" fillId="6" fontId="2" numFmtId="0" xfId="0" applyAlignment="1" applyBorder="1" applyFont="1">
      <alignment vertical="bottom"/>
    </xf>
    <xf borderId="2" fillId="5" fontId="2" numFmtId="0" xfId="0" applyAlignment="1" applyBorder="1" applyFont="1">
      <alignment vertical="bottom"/>
    </xf>
    <xf borderId="4" fillId="3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2" fillId="5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0" xfId="0" applyBorder="1" applyFont="1"/>
    <xf borderId="6" fillId="6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3" fillId="3" fontId="1" numFmtId="0" xfId="0" applyAlignment="1" applyBorder="1" applyFont="1">
      <alignment readingOrder="0"/>
    </xf>
    <xf borderId="4" fillId="0" fontId="1" numFmtId="0" xfId="0" applyBorder="1" applyFont="1"/>
    <xf borderId="3" fillId="6" fontId="1" numFmtId="0" xfId="0" applyAlignment="1" applyBorder="1" applyFont="1">
      <alignment readingOrder="0"/>
    </xf>
    <xf borderId="4" fillId="3" fontId="1" numFmtId="0" xfId="0" applyAlignment="1" applyBorder="1" applyFont="1">
      <alignment readingOrder="0"/>
    </xf>
    <xf borderId="8" fillId="6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9" fillId="0" fontId="1" numFmtId="0" xfId="0" applyBorder="1" applyFont="1"/>
    <xf borderId="9" fillId="3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0.63"/>
    <col customWidth="1" min="3" max="3" width="17.38"/>
    <col customWidth="1" min="4" max="4" width="44.38"/>
    <col customWidth="1" min="8" max="8" width="12.63"/>
    <col customWidth="1" min="10" max="10" width="40.38"/>
    <col customWidth="1" min="12" max="12" width="14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F1" s="3"/>
      <c r="G1" s="3"/>
    </row>
    <row r="2">
      <c r="A2" s="4" t="s">
        <v>4</v>
      </c>
      <c r="B2" s="4" t="s">
        <v>5</v>
      </c>
      <c r="C2" s="4" t="s">
        <v>6</v>
      </c>
      <c r="D2" s="5"/>
      <c r="F2" s="6" t="s">
        <v>7</v>
      </c>
      <c r="G2" s="7" t="s">
        <v>8</v>
      </c>
      <c r="I2" s="8"/>
      <c r="J2" s="8"/>
    </row>
    <row r="3">
      <c r="A3" s="9" t="s">
        <v>9</v>
      </c>
      <c r="B3" s="9" t="s">
        <v>10</v>
      </c>
      <c r="C3" s="9" t="s">
        <v>6</v>
      </c>
      <c r="D3" s="10"/>
      <c r="F3" s="11" t="s">
        <v>11</v>
      </c>
      <c r="G3" s="11" t="s">
        <v>12</v>
      </c>
      <c r="I3" s="8"/>
      <c r="J3" s="8"/>
    </row>
    <row r="4">
      <c r="A4" s="4" t="s">
        <v>13</v>
      </c>
      <c r="B4" s="4" t="s">
        <v>14</v>
      </c>
      <c r="C4" s="4" t="s">
        <v>15</v>
      </c>
      <c r="D4" s="5"/>
      <c r="F4" s="12">
        <v>3840.0</v>
      </c>
      <c r="G4" s="13">
        <v>5.0</v>
      </c>
      <c r="I4" s="14" t="s">
        <v>16</v>
      </c>
      <c r="J4" s="15" t="s">
        <v>17</v>
      </c>
    </row>
    <row r="5">
      <c r="A5" s="16"/>
      <c r="B5" s="4" t="s">
        <v>18</v>
      </c>
      <c r="C5" s="4" t="s">
        <v>19</v>
      </c>
      <c r="D5" s="5"/>
      <c r="F5" s="17">
        <v>2860.0</v>
      </c>
      <c r="G5" s="18">
        <v>10.0</v>
      </c>
      <c r="I5" s="14" t="s">
        <v>20</v>
      </c>
      <c r="J5" s="19" t="s">
        <v>21</v>
      </c>
    </row>
    <row r="6">
      <c r="A6" s="9" t="s">
        <v>22</v>
      </c>
      <c r="B6" s="9" t="s">
        <v>23</v>
      </c>
      <c r="C6" s="9" t="s">
        <v>24</v>
      </c>
      <c r="D6" s="10"/>
      <c r="F6" s="20">
        <v>2035.0</v>
      </c>
      <c r="G6" s="21">
        <v>15.0</v>
      </c>
      <c r="I6" s="22"/>
      <c r="J6" s="8"/>
    </row>
    <row r="7">
      <c r="A7" s="23"/>
      <c r="B7" s="9" t="s">
        <v>25</v>
      </c>
      <c r="C7" s="9" t="s">
        <v>26</v>
      </c>
      <c r="D7" s="10"/>
      <c r="F7" s="17">
        <v>1610.0</v>
      </c>
      <c r="G7" s="18">
        <v>20.0</v>
      </c>
      <c r="I7" s="22"/>
      <c r="J7" s="8"/>
    </row>
    <row r="8">
      <c r="A8" s="4" t="s">
        <v>27</v>
      </c>
      <c r="B8" s="4" t="s">
        <v>28</v>
      </c>
      <c r="C8" s="4" t="s">
        <v>29</v>
      </c>
      <c r="D8" s="5"/>
      <c r="F8" s="20">
        <v>1330.0</v>
      </c>
      <c r="G8" s="21">
        <v>25.0</v>
      </c>
      <c r="I8" s="22"/>
      <c r="J8" s="8"/>
    </row>
    <row r="9">
      <c r="A9" s="9" t="s">
        <v>30</v>
      </c>
      <c r="B9" s="9" t="s">
        <v>31</v>
      </c>
      <c r="C9" s="9" t="s">
        <v>6</v>
      </c>
      <c r="D9" s="24" t="s">
        <v>32</v>
      </c>
      <c r="F9" s="17">
        <v>1120.0</v>
      </c>
      <c r="G9" s="18">
        <v>30.0</v>
      </c>
      <c r="I9" s="25" t="s">
        <v>33</v>
      </c>
      <c r="J9" s="26" t="s">
        <v>34</v>
      </c>
    </row>
    <row r="10">
      <c r="A10" s="23"/>
      <c r="B10" s="9" t="s">
        <v>35</v>
      </c>
      <c r="C10" s="9" t="s">
        <v>36</v>
      </c>
      <c r="D10" s="10"/>
      <c r="F10" s="20">
        <v>995.0</v>
      </c>
      <c r="G10" s="21">
        <v>35.0</v>
      </c>
      <c r="I10" s="25" t="s">
        <v>37</v>
      </c>
      <c r="J10" s="27" t="s">
        <v>38</v>
      </c>
      <c r="K10" s="3">
        <v>6.5</v>
      </c>
    </row>
    <row r="11">
      <c r="A11" s="4" t="s">
        <v>39</v>
      </c>
      <c r="B11" s="4" t="s">
        <v>40</v>
      </c>
      <c r="C11" s="4" t="s">
        <v>41</v>
      </c>
      <c r="D11" s="5"/>
      <c r="F11" s="28">
        <v>860.0</v>
      </c>
      <c r="G11" s="29">
        <v>40.0</v>
      </c>
      <c r="I11" s="25" t="s">
        <v>42</v>
      </c>
      <c r="J11" s="26" t="s">
        <v>43</v>
      </c>
      <c r="K11" s="3">
        <v>20.41</v>
      </c>
    </row>
    <row r="12">
      <c r="A12" s="9" t="s">
        <v>44</v>
      </c>
      <c r="B12" s="9" t="s">
        <v>45</v>
      </c>
      <c r="C12" s="9" t="s">
        <v>6</v>
      </c>
      <c r="D12" s="10"/>
    </row>
    <row r="13">
      <c r="A13" s="4" t="s">
        <v>46</v>
      </c>
      <c r="B13" s="4" t="s">
        <v>47</v>
      </c>
      <c r="C13" s="4" t="s">
        <v>48</v>
      </c>
      <c r="D13" s="30" t="s">
        <v>49</v>
      </c>
      <c r="F13" s="31" t="s">
        <v>50</v>
      </c>
      <c r="G13" s="7" t="s">
        <v>51</v>
      </c>
    </row>
    <row r="14">
      <c r="A14" s="9" t="s">
        <v>52</v>
      </c>
      <c r="B14" s="9" t="s">
        <v>53</v>
      </c>
      <c r="C14" s="9" t="s">
        <v>54</v>
      </c>
      <c r="D14" s="24" t="s">
        <v>55</v>
      </c>
      <c r="F14" s="11" t="s">
        <v>11</v>
      </c>
      <c r="G14" s="32" t="s">
        <v>12</v>
      </c>
    </row>
    <row r="15">
      <c r="A15" s="23"/>
      <c r="B15" s="9" t="s">
        <v>56</v>
      </c>
      <c r="C15" s="9" t="s">
        <v>57</v>
      </c>
      <c r="D15" s="24" t="s">
        <v>58</v>
      </c>
      <c r="F15" s="12">
        <v>3830.0</v>
      </c>
      <c r="G15" s="33">
        <v>5.0</v>
      </c>
      <c r="J15" s="3">
        <v>6.5</v>
      </c>
      <c r="K15" s="34"/>
      <c r="L15" s="34"/>
    </row>
    <row r="16">
      <c r="A16" s="4" t="s">
        <v>59</v>
      </c>
      <c r="B16" s="4" t="s">
        <v>60</v>
      </c>
      <c r="C16" s="30" t="s">
        <v>61</v>
      </c>
      <c r="D16" s="35"/>
      <c r="F16" s="17">
        <v>2870.0</v>
      </c>
      <c r="G16" s="18">
        <v>10.0</v>
      </c>
      <c r="J16" s="3">
        <v>6.6</v>
      </c>
      <c r="K16" s="34"/>
      <c r="L16" s="36"/>
    </row>
    <row r="17">
      <c r="A17" s="37"/>
      <c r="B17" s="38" t="s">
        <v>62</v>
      </c>
      <c r="C17" s="39" t="s">
        <v>63</v>
      </c>
      <c r="D17" s="40"/>
      <c r="F17" s="20">
        <v>2040.0</v>
      </c>
      <c r="G17" s="21">
        <v>15.0</v>
      </c>
      <c r="I17" s="3" t="s">
        <v>64</v>
      </c>
      <c r="J17" s="3" t="s">
        <v>65</v>
      </c>
    </row>
    <row r="18">
      <c r="A18" s="41"/>
      <c r="B18" s="41"/>
      <c r="C18" s="41"/>
      <c r="D18" s="41"/>
      <c r="F18" s="17">
        <v>1600.0</v>
      </c>
      <c r="G18" s="18">
        <v>20.0</v>
      </c>
      <c r="I18" s="3" t="s">
        <v>66</v>
      </c>
      <c r="J18" s="42">
        <v>2.6</v>
      </c>
    </row>
    <row r="19">
      <c r="A19" s="41"/>
      <c r="B19" s="41"/>
      <c r="C19" s="41"/>
      <c r="D19" s="41"/>
      <c r="F19" s="20">
        <v>1290.0</v>
      </c>
      <c r="G19" s="21">
        <v>25.0</v>
      </c>
    </row>
    <row r="20">
      <c r="A20" s="41"/>
      <c r="B20" s="41"/>
      <c r="C20" s="41"/>
      <c r="D20" s="41"/>
      <c r="F20" s="17">
        <v>1110.0</v>
      </c>
      <c r="G20" s="18">
        <v>30.0</v>
      </c>
      <c r="I20" s="3" t="s">
        <v>67</v>
      </c>
      <c r="J20" s="3" t="s">
        <v>68</v>
      </c>
    </row>
    <row r="21">
      <c r="A21" s="41"/>
      <c r="B21" s="41"/>
      <c r="C21" s="41"/>
      <c r="D21" s="41"/>
      <c r="F21" s="20">
        <v>970.0</v>
      </c>
      <c r="G21" s="21">
        <v>35.0</v>
      </c>
    </row>
    <row r="22">
      <c r="F22" s="28">
        <v>860.0</v>
      </c>
      <c r="G22" s="29">
        <v>40.0</v>
      </c>
    </row>
    <row r="25">
      <c r="F25" s="43" t="s">
        <v>69</v>
      </c>
      <c r="G25" s="43" t="s">
        <v>70</v>
      </c>
    </row>
    <row r="26">
      <c r="F26" s="43">
        <v>360.0</v>
      </c>
      <c r="G26" s="43">
        <v>317.0</v>
      </c>
    </row>
    <row r="27">
      <c r="F27" s="43">
        <v>180.0</v>
      </c>
      <c r="G27" s="43">
        <v>158.5</v>
      </c>
    </row>
    <row r="28">
      <c r="F28" s="3">
        <v>90.0</v>
      </c>
      <c r="G28" s="3">
        <v>79.25</v>
      </c>
    </row>
    <row r="29">
      <c r="F29" s="3">
        <v>270.0</v>
      </c>
      <c r="G29" s="3">
        <v>237.75</v>
      </c>
    </row>
    <row r="33">
      <c r="A33" s="44" t="s">
        <v>71</v>
      </c>
      <c r="B33" s="45"/>
    </row>
    <row r="34">
      <c r="A34" s="46" t="s">
        <v>72</v>
      </c>
      <c r="B34" s="47" t="s">
        <v>73</v>
      </c>
    </row>
    <row r="35">
      <c r="A35" s="4" t="s">
        <v>74</v>
      </c>
      <c r="B35" s="30" t="s">
        <v>75</v>
      </c>
    </row>
    <row r="36">
      <c r="A36" s="9" t="s">
        <v>76</v>
      </c>
      <c r="B36" s="24" t="s">
        <v>77</v>
      </c>
    </row>
    <row r="37">
      <c r="A37" s="4" t="s">
        <v>78</v>
      </c>
      <c r="B37" s="30">
        <v>88.0</v>
      </c>
    </row>
    <row r="38">
      <c r="A38" s="9" t="s">
        <v>79</v>
      </c>
      <c r="B38" s="24">
        <v>74.0</v>
      </c>
    </row>
    <row r="39">
      <c r="A39" s="4" t="s">
        <v>80</v>
      </c>
      <c r="B39" s="30">
        <v>78.0</v>
      </c>
    </row>
    <row r="40">
      <c r="A40" s="48" t="s">
        <v>81</v>
      </c>
      <c r="B40" s="49">
        <v>90.0</v>
      </c>
    </row>
    <row r="41">
      <c r="A41" s="50" t="s">
        <v>82</v>
      </c>
      <c r="B41" s="51"/>
    </row>
    <row r="42">
      <c r="A42" s="52" t="s">
        <v>72</v>
      </c>
      <c r="B42" s="52" t="s">
        <v>73</v>
      </c>
    </row>
    <row r="43">
      <c r="A43" s="4" t="s">
        <v>74</v>
      </c>
      <c r="B43" s="53" t="s">
        <v>83</v>
      </c>
    </row>
    <row r="44">
      <c r="A44" s="9" t="s">
        <v>76</v>
      </c>
      <c r="B44" s="54" t="s">
        <v>84</v>
      </c>
    </row>
    <row r="45">
      <c r="A45" s="4" t="s">
        <v>78</v>
      </c>
      <c r="B45" s="53">
        <v>93.0</v>
      </c>
    </row>
    <row r="46">
      <c r="A46" s="9" t="s">
        <v>79</v>
      </c>
      <c r="B46" s="54">
        <v>74.0</v>
      </c>
    </row>
    <row r="47">
      <c r="A47" s="4" t="s">
        <v>80</v>
      </c>
      <c r="B47" s="53">
        <v>76.0</v>
      </c>
    </row>
    <row r="48">
      <c r="A48" s="48" t="s">
        <v>81</v>
      </c>
      <c r="B48" s="55">
        <v>92.0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4.88"/>
    <col customWidth="1" min="3" max="3" width="34.0"/>
    <col customWidth="1" min="5" max="5" width="37.75"/>
    <col customWidth="1" min="7" max="7" width="32.0"/>
  </cols>
  <sheetData>
    <row r="1">
      <c r="A1" s="56" t="s">
        <v>85</v>
      </c>
      <c r="B1" s="56" t="s">
        <v>86</v>
      </c>
      <c r="C1" s="2" t="s">
        <v>87</v>
      </c>
      <c r="E1" s="56" t="s">
        <v>88</v>
      </c>
      <c r="F1" s="56" t="s">
        <v>86</v>
      </c>
      <c r="G1" s="56" t="s">
        <v>87</v>
      </c>
    </row>
    <row r="2">
      <c r="A2" s="57" t="s">
        <v>4</v>
      </c>
      <c r="B2" s="58" t="s">
        <v>89</v>
      </c>
      <c r="C2" s="59"/>
      <c r="E2" s="60" t="s">
        <v>90</v>
      </c>
      <c r="F2" s="61" t="s">
        <v>89</v>
      </c>
      <c r="G2" s="59"/>
    </row>
    <row r="3">
      <c r="A3" s="62" t="s">
        <v>44</v>
      </c>
      <c r="B3" s="61" t="s">
        <v>89</v>
      </c>
      <c r="C3" s="63"/>
      <c r="E3" s="64" t="s">
        <v>91</v>
      </c>
      <c r="F3" s="61" t="s">
        <v>89</v>
      </c>
      <c r="G3" s="61" t="s">
        <v>92</v>
      </c>
    </row>
    <row r="4">
      <c r="A4" s="65" t="s">
        <v>9</v>
      </c>
      <c r="B4" s="61" t="s">
        <v>89</v>
      </c>
      <c r="C4" s="63"/>
      <c r="E4" s="64" t="s">
        <v>93</v>
      </c>
      <c r="F4" s="61" t="s">
        <v>94</v>
      </c>
      <c r="G4" s="63"/>
    </row>
    <row r="5">
      <c r="A5" s="65" t="s">
        <v>95</v>
      </c>
      <c r="B5" s="61" t="s">
        <v>89</v>
      </c>
      <c r="C5" s="63"/>
      <c r="E5" s="64" t="s">
        <v>96</v>
      </c>
      <c r="F5" s="61" t="s">
        <v>97</v>
      </c>
      <c r="G5" s="63"/>
    </row>
    <row r="6">
      <c r="A6" s="65" t="s">
        <v>98</v>
      </c>
      <c r="B6" s="61" t="s">
        <v>89</v>
      </c>
      <c r="C6" s="63"/>
      <c r="E6" s="66" t="s">
        <v>99</v>
      </c>
      <c r="F6" s="67" t="s">
        <v>97</v>
      </c>
      <c r="G6" s="68"/>
    </row>
    <row r="7">
      <c r="A7" s="65" t="s">
        <v>100</v>
      </c>
      <c r="B7" s="61" t="s">
        <v>89</v>
      </c>
      <c r="C7" s="63"/>
    </row>
    <row r="8">
      <c r="A8" s="65" t="s">
        <v>101</v>
      </c>
      <c r="B8" s="61" t="s">
        <v>89</v>
      </c>
      <c r="C8" s="63"/>
    </row>
    <row r="9">
      <c r="A9" s="65" t="s">
        <v>27</v>
      </c>
      <c r="B9" s="61" t="s">
        <v>89</v>
      </c>
      <c r="C9" s="63"/>
    </row>
    <row r="10">
      <c r="A10" s="65" t="s">
        <v>102</v>
      </c>
      <c r="B10" s="61" t="s">
        <v>89</v>
      </c>
      <c r="C10" s="63"/>
    </row>
    <row r="11">
      <c r="A11" s="65" t="s">
        <v>103</v>
      </c>
      <c r="B11" s="61" t="s">
        <v>89</v>
      </c>
      <c r="C11" s="63"/>
    </row>
    <row r="12">
      <c r="A12" s="65" t="s">
        <v>104</v>
      </c>
      <c r="B12" s="61" t="s">
        <v>94</v>
      </c>
      <c r="C12" s="61" t="s">
        <v>105</v>
      </c>
    </row>
    <row r="13">
      <c r="A13" s="65" t="s">
        <v>106</v>
      </c>
      <c r="B13" s="61" t="s">
        <v>89</v>
      </c>
      <c r="C13" s="63"/>
    </row>
    <row r="14">
      <c r="A14" s="69" t="s">
        <v>107</v>
      </c>
      <c r="B14" s="67" t="s">
        <v>89</v>
      </c>
      <c r="C14" s="68"/>
    </row>
  </sheetData>
  <dataValidations>
    <dataValidation type="list" allowBlank="1" showErrorMessage="1" sqref="F2:F6 B2:B14">
      <formula1>"Not started,Active,Completed"</formula1>
    </dataValidation>
  </dataValidations>
  <drawing r:id="rId1"/>
</worksheet>
</file>